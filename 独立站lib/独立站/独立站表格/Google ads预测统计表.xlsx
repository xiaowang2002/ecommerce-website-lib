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sdh19\Desktop\19线下课\Day 1 文件\"/>
    </mc:Choice>
  </mc:AlternateContent>
  <xr:revisionPtr revIDLastSave="0" documentId="13_ncr:1_{43EA22C2-B7FB-4DF9-905E-08009440F2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omerce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5" i="3" l="1"/>
  <c r="B15" i="3"/>
  <c r="B17" i="3"/>
  <c r="B21" i="3" s="1"/>
  <c r="E15" i="3"/>
  <c r="B11" i="3"/>
  <c r="G17" i="3" s="1"/>
  <c r="B7" i="3"/>
  <c r="G21" i="3" l="1"/>
  <c r="H21" i="3" s="1"/>
  <c r="H15" i="3"/>
  <c r="B23" i="3"/>
  <c r="E17" i="3"/>
  <c r="E21" i="3" s="1"/>
  <c r="G11" i="3"/>
  <c r="G9" i="3"/>
  <c r="H17" i="3"/>
  <c r="E19" i="3"/>
  <c r="G19" i="3"/>
  <c r="H19" i="3" l="1"/>
</calcChain>
</file>

<file path=xl/sharedStrings.xml><?xml version="1.0" encoding="utf-8"?>
<sst xmlns="http://schemas.openxmlformats.org/spreadsheetml/2006/main" count="28" uniqueCount="28">
  <si>
    <t>ROI Per Sale</t>
  </si>
  <si>
    <t xml:space="preserve">ROI Per Customer </t>
  </si>
  <si>
    <t>每月预算</t>
  </si>
  <si>
    <t>客单价</t>
  </si>
  <si>
    <t>客户终生价值</t>
  </si>
  <si>
    <t>每月共同支出</t>
  </si>
  <si>
    <t>利润率</t>
  </si>
  <si>
    <t>CPC</t>
  </si>
  <si>
    <t>总计月点击次数</t>
  </si>
  <si>
    <t>网站转化率</t>
  </si>
  <si>
    <t>现有CPA</t>
  </si>
  <si>
    <t>下降20%的CPA</t>
  </si>
  <si>
    <t>平均CPA</t>
  </si>
  <si>
    <t>现有每月订单量</t>
  </si>
  <si>
    <t>下降20%CPA后订单量</t>
  </si>
  <si>
    <t>每月利润</t>
  </si>
  <si>
    <t>下降20%CPA后的月利润</t>
  </si>
  <si>
    <t>每月终生价值利润</t>
  </si>
  <si>
    <t>下降20%CPA后的月终生价值利润</t>
  </si>
  <si>
    <t>请填写黄色方框</t>
    <phoneticPr fontId="16" type="noConversion"/>
  </si>
  <si>
    <t>每月其他运营管理费用</t>
    <phoneticPr fontId="16" type="noConversion"/>
  </si>
  <si>
    <r>
      <rPr>
        <b/>
        <sz val="12"/>
        <color rgb="FFFFFFFF"/>
        <rFont val="宋体"/>
        <family val="2"/>
        <charset val="134"/>
      </rPr>
      <t>月度计划</t>
    </r>
    <r>
      <rPr>
        <b/>
        <sz val="12"/>
        <color rgb="FFFFFFFF"/>
        <rFont val="Arial"/>
        <family val="2"/>
      </rPr>
      <t>: 20% Lower CPA + 20% More Conversions (Per Month)</t>
    </r>
    <phoneticPr fontId="16" type="noConversion"/>
  </si>
  <si>
    <t>差异</t>
    <phoneticPr fontId="16" type="noConversion"/>
  </si>
  <si>
    <t>实际转化/所有潜在销售</t>
    <phoneticPr fontId="16" type="noConversion"/>
  </si>
  <si>
    <t>实际每转化一个订单消耗的金额</t>
    <phoneticPr fontId="16" type="noConversion"/>
  </si>
  <si>
    <t>实际每月订单量</t>
    <phoneticPr fontId="16" type="noConversion"/>
  </si>
  <si>
    <t>每月转化目标达成次数</t>
    <phoneticPr fontId="16" type="noConversion"/>
  </si>
  <si>
    <r>
      <t xml:space="preserve">Note: </t>
    </r>
    <r>
      <rPr>
        <i/>
        <sz val="10"/>
        <color rgb="FFFFFFFF"/>
        <rFont val="宋体"/>
        <family val="2"/>
        <charset val="134"/>
      </rPr>
      <t>红色</t>
    </r>
    <r>
      <rPr>
        <i/>
        <sz val="10"/>
        <color rgb="FFFFFFFF"/>
        <rFont val="Arial"/>
        <family val="2"/>
      </rPr>
      <t xml:space="preserve"> = </t>
    </r>
    <r>
      <rPr>
        <i/>
        <sz val="10"/>
        <color rgb="FFFFFFFF"/>
        <rFont val="宋体"/>
        <family val="2"/>
        <charset val="134"/>
      </rPr>
      <t>不盈利</t>
    </r>
    <r>
      <rPr>
        <i/>
        <sz val="10"/>
        <color rgb="FFFFFFFF"/>
        <rFont val="Arial"/>
        <family val="2"/>
      </rPr>
      <t xml:space="preserve"> ; </t>
    </r>
    <r>
      <rPr>
        <i/>
        <sz val="10"/>
        <color rgb="FFFFFFFF"/>
        <rFont val="宋体"/>
        <family val="2"/>
        <charset val="134"/>
      </rPr>
      <t>绿色</t>
    </r>
    <r>
      <rPr>
        <i/>
        <sz val="10"/>
        <color rgb="FFFFFFFF"/>
        <rFont val="Arial"/>
        <family val="2"/>
      </rPr>
      <t xml:space="preserve"> = </t>
    </r>
    <r>
      <rPr>
        <i/>
        <sz val="10"/>
        <color rgb="FFFFFFFF"/>
        <rFont val="宋体"/>
        <family val="2"/>
        <charset val="134"/>
      </rPr>
      <t>盈利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</si>
</sst>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.00"/>
    <numFmt numFmtId="178" formatCode="_(&quot;$&quot;* #,##0.00_);_(&quot;$&quot;* \(#,##0.00\);_(&quot;$&quot;* &quot;-&quot;??_);_(@_)"/>
  </numFmts>
  <fonts count="23" x14ac:knownFonts="1">
    <font>
      <sz val="10"/>
      <color rgb="FF000000"/>
      <name val="Arial"/>
      <charset val="134"/>
    </font>
    <font>
      <b/>
      <sz val="25"/>
      <color rgb="FFFFFFFF"/>
      <name val="Arial"/>
      <family val="2"/>
    </font>
    <font>
      <sz val="12"/>
      <name val="Arial"/>
      <family val="2"/>
    </font>
    <font>
      <b/>
      <sz val="12"/>
      <color rgb="FF666666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sz val="12"/>
      <color rgb="FF666666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sz val="10"/>
      <color rgb="FF66666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color rgb="FFFFFFFF"/>
      <name val="Arial"/>
      <family val="2"/>
    </font>
    <font>
      <i/>
      <sz val="10"/>
      <name val="Arial"/>
      <family val="2"/>
    </font>
    <font>
      <strike/>
      <sz val="10"/>
      <name val="Arial"/>
      <family val="2"/>
    </font>
    <font>
      <sz val="9"/>
      <name val="Arial"/>
      <family val="2"/>
    </font>
    <font>
      <b/>
      <sz val="11"/>
      <color rgb="FF434343"/>
      <name val="宋体"/>
      <family val="2"/>
      <charset val="134"/>
    </font>
    <font>
      <b/>
      <sz val="12"/>
      <color rgb="FF666666"/>
      <name val="微软雅黑"/>
      <family val="2"/>
      <charset val="134"/>
    </font>
    <font>
      <b/>
      <sz val="12"/>
      <color rgb="FFFFFFFF"/>
      <name val="宋体"/>
      <family val="2"/>
      <charset val="134"/>
    </font>
    <font>
      <b/>
      <sz val="12"/>
      <color rgb="FFFFFFFF"/>
      <name val="Arial"/>
      <family val="2"/>
      <charset val="134"/>
    </font>
    <font>
      <b/>
      <sz val="12"/>
      <color rgb="FF666666"/>
      <name val="宋体"/>
      <family val="2"/>
      <charset val="134"/>
    </font>
    <font>
      <i/>
      <sz val="10"/>
      <color rgb="FFFFFFFF"/>
      <name val="宋体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6ADAF7"/>
        <bgColor rgb="FF6ADAF7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2" fillId="0" borderId="0" xfId="0" applyFont="1"/>
    <xf numFmtId="178" fontId="2" fillId="0" borderId="0" xfId="0" applyNumberFormat="1" applyFont="1"/>
    <xf numFmtId="0" fontId="3" fillId="0" borderId="0" xfId="0" applyFont="1" applyAlignment="1"/>
    <xf numFmtId="178" fontId="4" fillId="4" borderId="0" xfId="0" applyNumberFormat="1" applyFont="1" applyFill="1" applyAlignment="1"/>
    <xf numFmtId="178" fontId="4" fillId="4" borderId="0" xfId="0" applyNumberFormat="1" applyFont="1" applyFill="1" applyAlignment="1">
      <alignment horizontal="right"/>
    </xf>
    <xf numFmtId="178" fontId="5" fillId="0" borderId="0" xfId="0" applyNumberFormat="1" applyFont="1" applyAlignment="1"/>
    <xf numFmtId="0" fontId="5" fillId="2" borderId="0" xfId="0" applyFont="1" applyFill="1" applyAlignment="1"/>
    <xf numFmtId="9" fontId="4" fillId="4" borderId="0" xfId="0" applyNumberFormat="1" applyFont="1" applyFill="1" applyAlignment="1">
      <alignment horizontal="right"/>
    </xf>
    <xf numFmtId="0" fontId="6" fillId="0" borderId="0" xfId="0" applyFont="1"/>
    <xf numFmtId="178" fontId="5" fillId="2" borderId="0" xfId="0" applyNumberFormat="1" applyFont="1" applyFill="1" applyAlignment="1"/>
    <xf numFmtId="9" fontId="5" fillId="0" borderId="0" xfId="0" applyNumberFormat="1" applyFont="1" applyAlignment="1"/>
    <xf numFmtId="9" fontId="4" fillId="4" borderId="0" xfId="0" applyNumberFormat="1" applyFont="1" applyFill="1" applyAlignment="1"/>
    <xf numFmtId="178" fontId="5" fillId="2" borderId="0" xfId="0" applyNumberFormat="1" applyFont="1" applyFill="1" applyAlignment="1">
      <alignment horizontal="right"/>
    </xf>
    <xf numFmtId="0" fontId="7" fillId="0" borderId="0" xfId="0" applyFont="1"/>
    <xf numFmtId="0" fontId="5" fillId="2" borderId="0" xfId="0" applyFont="1" applyFill="1" applyAlignment="1">
      <alignment horizontal="right"/>
    </xf>
    <xf numFmtId="0" fontId="8" fillId="0" borderId="0" xfId="0" applyFont="1" applyAlignment="1"/>
    <xf numFmtId="178" fontId="9" fillId="0" borderId="0" xfId="0" applyNumberFormat="1" applyFont="1"/>
    <xf numFmtId="0" fontId="10" fillId="0" borderId="0" xfId="0" applyFont="1" applyAlignment="1"/>
    <xf numFmtId="0" fontId="9" fillId="6" borderId="0" xfId="0" applyFont="1" applyFill="1" applyAlignment="1"/>
    <xf numFmtId="0" fontId="4" fillId="0" borderId="0" xfId="0" applyFont="1" applyAlignment="1"/>
    <xf numFmtId="9" fontId="9" fillId="0" borderId="0" xfId="0" applyNumberFormat="1" applyFont="1"/>
    <xf numFmtId="0" fontId="11" fillId="0" borderId="0" xfId="0" applyFont="1" applyAlignment="1"/>
    <xf numFmtId="176" fontId="5" fillId="2" borderId="0" xfId="0" applyNumberFormat="1" applyFont="1" applyFill="1" applyAlignment="1"/>
    <xf numFmtId="176" fontId="12" fillId="6" borderId="0" xfId="0" applyNumberFormat="1" applyFont="1" applyFill="1" applyAlignment="1"/>
    <xf numFmtId="178" fontId="5" fillId="2" borderId="0" xfId="0" applyNumberFormat="1" applyFont="1" applyFill="1" applyAlignment="1">
      <alignment horizontal="left"/>
    </xf>
    <xf numFmtId="0" fontId="9" fillId="0" borderId="0" xfId="0" applyFont="1" applyAlignment="1"/>
    <xf numFmtId="178" fontId="11" fillId="4" borderId="0" xfId="0" applyNumberFormat="1" applyFont="1" applyFill="1" applyAlignment="1"/>
    <xf numFmtId="178" fontId="2" fillId="0" borderId="0" xfId="0" applyNumberFormat="1" applyFont="1" applyAlignment="1"/>
    <xf numFmtId="178" fontId="9" fillId="6" borderId="0" xfId="0" applyNumberFormat="1" applyFont="1" applyFill="1" applyAlignment="1"/>
    <xf numFmtId="178" fontId="11" fillId="0" borderId="0" xfId="0" applyNumberFormat="1" applyFont="1" applyAlignment="1"/>
    <xf numFmtId="176" fontId="5" fillId="2" borderId="0" xfId="0" applyNumberFormat="1" applyFont="1" applyFill="1"/>
    <xf numFmtId="176" fontId="11" fillId="0" borderId="0" xfId="0" applyNumberFormat="1" applyFont="1" applyAlignment="1"/>
    <xf numFmtId="0" fontId="12" fillId="6" borderId="0" xfId="0" applyFont="1" applyFill="1" applyAlignment="1"/>
    <xf numFmtId="176" fontId="9" fillId="6" borderId="0" xfId="0" applyNumberFormat="1" applyFont="1" applyFill="1" applyAlignment="1"/>
    <xf numFmtId="176" fontId="11" fillId="0" borderId="0" xfId="0" applyNumberFormat="1" applyFont="1"/>
    <xf numFmtId="0" fontId="15" fillId="0" borderId="0" xfId="0" applyFont="1"/>
    <xf numFmtId="0" fontId="0" fillId="0" borderId="0" xfId="0" applyFont="1" applyAlignment="1"/>
    <xf numFmtId="0" fontId="3" fillId="0" borderId="0" xfId="0" applyFont="1" applyAlignment="1"/>
    <xf numFmtId="0" fontId="13" fillId="5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7" fillId="3" borderId="0" xfId="0" applyFont="1" applyFill="1" applyAlignment="1">
      <alignment horizontal="center"/>
    </xf>
    <xf numFmtId="0" fontId="18" fillId="0" borderId="0" xfId="0" applyFont="1" applyAlignment="1"/>
    <xf numFmtId="178" fontId="20" fillId="5" borderId="0" xfId="0" applyNumberFormat="1" applyFont="1" applyFill="1" applyAlignment="1">
      <alignment horizontal="center"/>
    </xf>
    <xf numFmtId="0" fontId="19" fillId="5" borderId="0" xfId="0" applyFont="1" applyFill="1" applyAlignment="1">
      <alignment horizontal="center"/>
    </xf>
    <xf numFmtId="0" fontId="21" fillId="0" borderId="0" xfId="0" applyFont="1" applyAlignment="1"/>
    <xf numFmtId="0" fontId="21" fillId="7" borderId="0" xfId="0" applyFont="1" applyFill="1" applyAlignment="1"/>
    <xf numFmtId="0" fontId="3" fillId="7" borderId="0" xfId="0" applyFont="1" applyFill="1" applyAlignment="1"/>
  </cellXfs>
  <cellStyles count="1">
    <cellStyle name="常规" xfId="0" builtinId="0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26"/>
  <sheetViews>
    <sheetView tabSelected="1" workbookViewId="0">
      <selection activeCell="A22" sqref="A22"/>
    </sheetView>
  </sheetViews>
  <sheetFormatPr defaultColWidth="14.44140625" defaultRowHeight="15.75" customHeight="1" x14ac:dyDescent="0.25"/>
  <cols>
    <col min="1" max="1" width="39.33203125" customWidth="1"/>
    <col min="3" max="3" width="1.5546875" customWidth="1"/>
    <col min="4" max="4" width="27.44140625" customWidth="1"/>
    <col min="5" max="5" width="21.6640625" customWidth="1"/>
    <col min="6" max="6" width="36.88671875" customWidth="1"/>
  </cols>
  <sheetData>
    <row r="1" spans="1:23" ht="39.75" customHeight="1" x14ac:dyDescent="0.25">
      <c r="A1" s="42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3" ht="21.7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 spans="1:23" ht="27" customHeight="1" x14ac:dyDescent="0.25">
      <c r="A3" s="43" t="s">
        <v>19</v>
      </c>
      <c r="B3" s="37"/>
      <c r="C3" s="37"/>
      <c r="D3" s="37"/>
      <c r="E3" s="37"/>
      <c r="F3" s="37"/>
      <c r="G3" s="37"/>
      <c r="H3" s="37"/>
      <c r="W3" s="36"/>
    </row>
    <row r="4" spans="1:23" ht="18.75" customHeight="1" x14ac:dyDescent="0.25">
      <c r="A4" s="1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36"/>
    </row>
    <row r="5" spans="1:23" ht="15.6" x14ac:dyDescent="0.3">
      <c r="A5" s="3" t="s">
        <v>2</v>
      </c>
      <c r="B5" s="4">
        <v>10000</v>
      </c>
      <c r="C5" s="17"/>
      <c r="D5" s="38" t="s">
        <v>3</v>
      </c>
      <c r="E5" s="37"/>
      <c r="F5" s="37"/>
      <c r="G5" s="5">
        <v>115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36"/>
    </row>
    <row r="6" spans="1:23" ht="17.399999999999999" x14ac:dyDescent="0.4">
      <c r="A6" s="44" t="s">
        <v>20</v>
      </c>
      <c r="B6" s="5">
        <v>3000</v>
      </c>
      <c r="C6" s="17"/>
      <c r="D6" s="38" t="s">
        <v>4</v>
      </c>
      <c r="E6" s="37"/>
      <c r="F6" s="37"/>
      <c r="G6" s="27">
        <v>115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36"/>
    </row>
    <row r="7" spans="1:23" ht="15.6" x14ac:dyDescent="0.3">
      <c r="A7" s="3" t="s">
        <v>5</v>
      </c>
      <c r="B7" s="5">
        <f>(B5+B6)</f>
        <v>13000</v>
      </c>
      <c r="C7" s="17"/>
      <c r="D7" s="38" t="s">
        <v>6</v>
      </c>
      <c r="E7" s="37"/>
      <c r="F7" s="37"/>
      <c r="G7" s="8">
        <v>0.4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36"/>
    </row>
    <row r="8" spans="1:23" ht="8.25" customHeight="1" x14ac:dyDescent="0.3">
      <c r="A8" s="3"/>
      <c r="B8" s="6"/>
      <c r="C8" s="17"/>
      <c r="D8" s="18"/>
      <c r="E8" s="18"/>
      <c r="F8" s="18"/>
      <c r="G8" s="28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36"/>
    </row>
    <row r="9" spans="1:23" ht="15.6" x14ac:dyDescent="0.3">
      <c r="A9" s="3" t="s">
        <v>7</v>
      </c>
      <c r="B9" s="4">
        <v>0.8</v>
      </c>
      <c r="C9" s="17"/>
      <c r="D9" s="38" t="s">
        <v>0</v>
      </c>
      <c r="E9" s="37"/>
      <c r="F9" s="37"/>
      <c r="G9" s="13">
        <f>(G5-B21)</f>
        <v>99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36"/>
    </row>
    <row r="10" spans="1:23" ht="8.25" customHeight="1" x14ac:dyDescent="0.3">
      <c r="A10" s="3"/>
      <c r="B10" s="6"/>
      <c r="C10" s="17"/>
      <c r="D10" s="18"/>
      <c r="E10" s="18"/>
      <c r="F10" s="18"/>
      <c r="G10" s="28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36"/>
    </row>
    <row r="11" spans="1:23" ht="15.6" x14ac:dyDescent="0.3">
      <c r="A11" s="3" t="s">
        <v>8</v>
      </c>
      <c r="B11" s="7">
        <f>(B5/B9)</f>
        <v>12500</v>
      </c>
      <c r="C11" s="17"/>
      <c r="D11" s="38" t="s">
        <v>1</v>
      </c>
      <c r="E11" s="37"/>
      <c r="F11" s="37"/>
      <c r="G11" s="13">
        <f>(G6-B21)</f>
        <v>99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36"/>
    </row>
    <row r="12" spans="1:23" ht="8.25" customHeight="1" x14ac:dyDescent="0.3">
      <c r="A12" s="3"/>
      <c r="B12" s="6"/>
      <c r="C12" s="17"/>
      <c r="D12" s="18"/>
      <c r="E12" s="18"/>
      <c r="F12" s="18"/>
      <c r="G12" s="28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36"/>
    </row>
    <row r="13" spans="1:23" ht="16.2" x14ac:dyDescent="0.3">
      <c r="A13" s="49" t="s">
        <v>9</v>
      </c>
      <c r="B13" s="8">
        <v>0.05</v>
      </c>
      <c r="C13" s="17"/>
      <c r="D13" s="45" t="s">
        <v>21</v>
      </c>
      <c r="E13" s="37"/>
      <c r="F13" s="37"/>
      <c r="G13" s="37"/>
      <c r="H13" s="46" t="s">
        <v>22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spans="1:23" ht="9.75" customHeight="1" x14ac:dyDescent="0.25">
      <c r="A14" s="9"/>
      <c r="B14" s="2"/>
      <c r="C14" s="17"/>
      <c r="D14" s="19"/>
      <c r="E14" s="19"/>
      <c r="F14" s="19"/>
      <c r="G14" s="29"/>
      <c r="H14" s="29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spans="1:23" ht="17.399999999999999" x14ac:dyDescent="0.4">
      <c r="A15" s="44" t="s">
        <v>26</v>
      </c>
      <c r="B15" s="7">
        <f>(B11*B13)</f>
        <v>625</v>
      </c>
      <c r="C15" s="17"/>
      <c r="D15" s="20" t="s">
        <v>10</v>
      </c>
      <c r="E15" s="10">
        <f>(B9/B13)</f>
        <v>16</v>
      </c>
      <c r="F15" s="20" t="s">
        <v>11</v>
      </c>
      <c r="G15" s="10">
        <f>(B9/B13)*0.8</f>
        <v>12.8</v>
      </c>
      <c r="H15" s="30">
        <f>(E15-G15)</f>
        <v>3.1999999999999993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spans="1:23" ht="9" customHeight="1" x14ac:dyDescent="0.25">
      <c r="A16" s="9"/>
      <c r="B16" s="2"/>
      <c r="C16" s="17"/>
      <c r="D16" s="19"/>
      <c r="E16" s="19"/>
      <c r="F16" s="19"/>
      <c r="G16" s="29"/>
      <c r="H16" s="29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spans="1:22" ht="15.6" x14ac:dyDescent="0.3">
      <c r="A17" s="3" t="s">
        <v>12</v>
      </c>
      <c r="B17" s="10">
        <f>(B9/B13)</f>
        <v>16</v>
      </c>
      <c r="C17" s="21"/>
      <c r="D17" s="20" t="s">
        <v>13</v>
      </c>
      <c r="E17" s="7">
        <f>(B11*B13)</f>
        <v>625</v>
      </c>
      <c r="F17" s="20" t="s">
        <v>14</v>
      </c>
      <c r="G17" s="7">
        <f>(B11*B13)*1.2</f>
        <v>750</v>
      </c>
      <c r="H17" s="22">
        <f>(G17-E17)</f>
        <v>125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spans="1:22" ht="10.5" customHeight="1" x14ac:dyDescent="0.3">
      <c r="A18" s="3"/>
      <c r="B18" s="11"/>
      <c r="C18" s="21"/>
      <c r="D18" s="19"/>
      <c r="E18" s="19"/>
      <c r="F18" s="19"/>
      <c r="G18" s="29"/>
      <c r="H18" s="29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 spans="1:22" ht="17.25" customHeight="1" x14ac:dyDescent="0.3">
      <c r="A19" s="48" t="s">
        <v>23</v>
      </c>
      <c r="B19" s="12">
        <v>1</v>
      </c>
      <c r="C19" s="17"/>
      <c r="D19" s="22" t="s">
        <v>15</v>
      </c>
      <c r="E19" s="23">
        <f>((G5*G7)*(E17*B19))-(E15*E17)</f>
        <v>18750</v>
      </c>
      <c r="F19" s="22" t="s">
        <v>16</v>
      </c>
      <c r="G19" s="31">
        <f>((G5*G7)*(G17*B19))-(G15*G17)-B6</f>
        <v>21900</v>
      </c>
      <c r="H19" s="32">
        <f>(G19-E19)</f>
        <v>3150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spans="1:22" ht="9.75" customHeight="1" x14ac:dyDescent="0.25">
      <c r="A20" s="9"/>
      <c r="B20" s="1"/>
      <c r="D20" s="19"/>
      <c r="E20" s="24"/>
      <c r="F20" s="33"/>
      <c r="G20" s="24"/>
      <c r="H20" s="3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6.2" x14ac:dyDescent="0.3">
      <c r="A21" s="47" t="s">
        <v>24</v>
      </c>
      <c r="B21" s="13">
        <f>(B17/B19)</f>
        <v>16</v>
      </c>
      <c r="C21" s="21"/>
      <c r="D21" s="22" t="s">
        <v>17</v>
      </c>
      <c r="E21" s="25">
        <f>((G6*G7)*(E17*B19))-(E15*E17)</f>
        <v>18750</v>
      </c>
      <c r="F21" s="22" t="s">
        <v>18</v>
      </c>
      <c r="G21" s="25">
        <f>((G6*G7)*(G17*B19))-(G15*G17)-B6</f>
        <v>21900</v>
      </c>
      <c r="H21" s="35">
        <f>(G21-E21)</f>
        <v>3150</v>
      </c>
    </row>
    <row r="22" spans="1:22" ht="16.5" customHeight="1" x14ac:dyDescent="0.25">
      <c r="A22" s="14"/>
      <c r="B22" s="1"/>
      <c r="D22" s="39" t="s">
        <v>27</v>
      </c>
      <c r="E22" s="37"/>
      <c r="F22" s="37"/>
      <c r="G22" s="37"/>
      <c r="H22" s="37"/>
    </row>
    <row r="23" spans="1:22" ht="16.2" x14ac:dyDescent="0.3">
      <c r="A23" s="47" t="s">
        <v>25</v>
      </c>
      <c r="B23" s="15">
        <f>(B15*B19)</f>
        <v>625</v>
      </c>
      <c r="C23" s="17"/>
      <c r="D23" s="39"/>
      <c r="E23" s="37"/>
      <c r="F23" s="37"/>
      <c r="G23" s="37"/>
      <c r="H23" s="37"/>
    </row>
    <row r="24" spans="1:22" ht="15" x14ac:dyDescent="0.25">
      <c r="A24" s="1"/>
      <c r="B24" s="2"/>
      <c r="C24" s="17"/>
      <c r="D24" s="40"/>
      <c r="E24" s="37"/>
      <c r="F24" s="37"/>
      <c r="G24" s="37"/>
    </row>
    <row r="25" spans="1:22" ht="15.6" x14ac:dyDescent="0.3">
      <c r="A25" s="16"/>
      <c r="B25" s="6"/>
      <c r="C25" s="17"/>
      <c r="D25" s="40"/>
      <c r="E25" s="37"/>
      <c r="F25" s="37"/>
      <c r="G25" s="37"/>
    </row>
    <row r="26" spans="1:22" ht="13.2" x14ac:dyDescent="0.25">
      <c r="D26" s="41"/>
      <c r="E26" s="37"/>
      <c r="F26" s="26"/>
    </row>
  </sheetData>
  <mergeCells count="13">
    <mergeCell ref="D23:H23"/>
    <mergeCell ref="D24:G24"/>
    <mergeCell ref="D25:G25"/>
    <mergeCell ref="D26:E26"/>
    <mergeCell ref="A1:V2"/>
    <mergeCell ref="D7:F7"/>
    <mergeCell ref="D9:F9"/>
    <mergeCell ref="D11:F11"/>
    <mergeCell ref="D13:G13"/>
    <mergeCell ref="D22:H22"/>
    <mergeCell ref="A3:H3"/>
    <mergeCell ref="D5:F5"/>
    <mergeCell ref="D6:F6"/>
  </mergeCells>
  <phoneticPr fontId="16" type="noConversion"/>
  <conditionalFormatting sqref="H17:H21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ecoomerce表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danhao shen</cp:lastModifiedBy>
  <dcterms:created xsi:type="dcterms:W3CDTF">2021-11-23T07:52:00Z</dcterms:created>
  <dcterms:modified xsi:type="dcterms:W3CDTF">2022-11-14T06:53:44Z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